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 &amp; Market Data" sheetId="1" state="visible" r:id="rId1"/>
    <sheet name="Portfolio Setup" sheetId="2" state="visible" r:id="rId2"/>
    <sheet name="Strategy A - No Hedge" sheetId="3" state="visible" r:id="rId3"/>
    <sheet name="Strategy B - Forward Hedge" sheetId="4" state="visible" r:id="rId4"/>
    <sheet name="Option Pricing" sheetId="5" state="visible" r:id="rId5"/>
    <sheet name="Strategy C - Option Hedge" sheetId="6" state="visible" r:id="rId6"/>
    <sheet name="Strategy Comparison" sheetId="7" state="visible" r:id="rId7"/>
    <sheet name="Recommendation" sheetId="8" state="visible" r:id="rId8"/>
    <sheet name="Chart 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Strategy Return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'Strategy Comparison'!D1</f>
            </strRef>
          </tx>
          <spPr>
            <a:ln>
              <a:prstDash val="solid"/>
            </a:ln>
          </spPr>
          <cat>
            <numRef>
              <f>'Strategy Comparison'!$A$2:$A$4</f>
            </numRef>
          </cat>
          <val>
            <numRef>
              <f>'Strategy Comparison'!$D$2:$D$4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Profit by Currency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>
              <a:prstDash val="solid"/>
            </a:ln>
          </spPr>
          <cat>
            <numRef>
              <f>'Chart Data'!$A$2:$A$5</f>
            </numRef>
          </cat>
          <val>
            <numRef>
              <f>'Chart Data'!$B$2:$B$5</f>
            </numRef>
          </val>
        </ser>
        <ser>
          <idx val="1"/>
          <order val="1"/>
          <tx>
            <strRef>
              <f>'Chart Data'!C1</f>
            </strRef>
          </tx>
          <spPr>
            <a:ln>
              <a:prstDash val="solid"/>
            </a:ln>
          </spPr>
          <cat>
            <numRef>
              <f>'Chart Data'!$A$2:$A$5</f>
            </numRef>
          </cat>
          <val>
            <numRef>
              <f>'Chart Data'!$C$2:$C$5</f>
            </numRef>
          </val>
        </ser>
        <ser>
          <idx val="2"/>
          <order val="2"/>
          <tx>
            <strRef>
              <f>'Chart Data'!D1</f>
            </strRef>
          </tx>
          <spPr>
            <a:ln>
              <a:prstDash val="solid"/>
            </a:ln>
          </spPr>
          <cat>
            <numRef>
              <f>'Chart Data'!$A$2:$A$5</f>
            </numRef>
          </cat>
          <val>
            <numRef>
              <f>'Chart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Currency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8" customWidth="1" min="3" max="3"/>
    <col width="20" customWidth="1" min="4" max="4"/>
    <col width="13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Investment (USD)</t>
        </is>
      </c>
      <c r="B2" s="2" t="n">
        <v>1000000000</v>
      </c>
    </row>
    <row r="3">
      <c r="A3" t="inlineStr">
        <is>
          <t>Allocation per Currency (USD)</t>
        </is>
      </c>
      <c r="B3" s="2" t="n">
        <v>250000000</v>
      </c>
    </row>
    <row r="4">
      <c r="A4" t="inlineStr">
        <is>
          <t>Investment Return</t>
        </is>
      </c>
      <c r="B4" s="3" t="n">
        <v>0.1</v>
      </c>
    </row>
    <row r="5">
      <c r="A5" t="inlineStr">
        <is>
          <t>Risk Free Rate</t>
        </is>
      </c>
      <c r="B5" s="3" t="n">
        <v>0.05</v>
      </c>
    </row>
    <row r="6">
      <c r="A6" t="inlineStr">
        <is>
          <t>Time to Maturity (Years)</t>
        </is>
      </c>
      <c r="B6" t="n">
        <v>1</v>
      </c>
    </row>
    <row r="7">
      <c r="A7" t="inlineStr">
        <is>
          <t>Simulation Start Date</t>
        </is>
      </c>
      <c r="B7" t="inlineStr">
        <is>
          <t>2024-07-01</t>
        </is>
      </c>
    </row>
    <row r="8"/>
    <row r="9">
      <c r="A9" s="1" t="inlineStr">
        <is>
          <t>Currency Pair</t>
        </is>
      </c>
      <c r="B9" s="1" t="inlineStr">
        <is>
          <t>Spot (T=0)</t>
        </is>
      </c>
      <c r="C9" s="1" t="inlineStr">
        <is>
          <t>Forward (T=1Y)</t>
        </is>
      </c>
      <c r="D9" s="1" t="inlineStr">
        <is>
          <t>ATM Volatility</t>
        </is>
      </c>
      <c r="E9" s="1" t="inlineStr">
        <is>
          <t>Spot (T=1Y)</t>
        </is>
      </c>
    </row>
    <row r="10">
      <c r="A10" t="inlineStr">
        <is>
          <t>USDCNH</t>
        </is>
      </c>
      <c r="B10" t="n">
        <v>7.30555</v>
      </c>
      <c r="C10" t="n">
        <v>7.11995000000009</v>
      </c>
      <c r="D10" s="3" t="n">
        <v>0.0582499924350509</v>
      </c>
      <c r="E10" t="n">
        <v>7.1635</v>
      </c>
    </row>
    <row r="11">
      <c r="A11" t="inlineStr">
        <is>
          <t>USDINR</t>
        </is>
      </c>
      <c r="B11" t="n">
        <v>83.4699995</v>
      </c>
      <c r="C11" t="n">
        <v>84.83766334275511</v>
      </c>
      <c r="D11" s="3" t="n">
        <v>0.0349715513644204</v>
      </c>
      <c r="E11" t="n">
        <v>85.575</v>
      </c>
    </row>
    <row r="12">
      <c r="A12" t="inlineStr">
        <is>
          <t>USDJPY</t>
        </is>
      </c>
      <c r="B12" t="n">
        <v>161.615</v>
      </c>
      <c r="C12" t="n">
        <v>153.56541616557</v>
      </c>
      <c r="D12" s="3" t="n">
        <v>0.0994136858613462</v>
      </c>
      <c r="E12" t="n">
        <v>143.55</v>
      </c>
    </row>
    <row r="13">
      <c r="A13" t="inlineStr">
        <is>
          <t>USDKRW</t>
        </is>
      </c>
      <c r="B13" t="n">
        <v>1384.48</v>
      </c>
      <c r="C13" t="n">
        <v>1356.2554077284</v>
      </c>
      <c r="D13" s="3" t="n">
        <v>0.0876832080653337</v>
      </c>
      <c r="E13" t="n">
        <v>1357.3701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1" customWidth="1" min="4" max="4"/>
    <col width="23" customWidth="1" min="5" max="5"/>
    <col width="26" customWidth="1" min="6" max="6"/>
    <col width="19" customWidth="1" min="7" max="7"/>
    <col width="28" customWidth="1" min="8" max="8"/>
  </cols>
  <sheetData>
    <row r="1">
      <c r="A1" s="1" t="inlineStr">
        <is>
          <t>Currency</t>
        </is>
      </c>
      <c r="B1" s="1" t="inlineStr">
        <is>
          <t>USD Allocation</t>
        </is>
      </c>
      <c r="C1" s="1" t="inlineStr">
        <is>
          <t>Spot Start</t>
        </is>
      </c>
      <c r="D1" s="1" t="inlineStr">
        <is>
          <t>Spot End</t>
        </is>
      </c>
      <c r="E1" s="1" t="inlineStr">
        <is>
          <t>FX % Change</t>
        </is>
      </c>
      <c r="F1" s="1" t="inlineStr">
        <is>
          <t>Local Currency Purchased</t>
        </is>
      </c>
      <c r="G1" s="1" t="inlineStr">
        <is>
          <t>Investment Growth</t>
        </is>
      </c>
      <c r="H1" s="1" t="inlineStr">
        <is>
          <t>Local Currency at Maturity</t>
        </is>
      </c>
    </row>
    <row r="2">
      <c r="A2" t="inlineStr">
        <is>
          <t>USDCNH</t>
        </is>
      </c>
      <c r="B2" s="2" t="n">
        <v>250000000</v>
      </c>
      <c r="C2" t="n">
        <v>7.30555</v>
      </c>
      <c r="D2" t="n">
        <v>7.1635</v>
      </c>
      <c r="E2" s="3" t="n">
        <v>-0.01944412125028239</v>
      </c>
      <c r="F2" s="4" t="n">
        <v>1826387500</v>
      </c>
      <c r="G2" s="4" t="n">
        <v>182638750</v>
      </c>
      <c r="H2" s="4" t="n">
        <v>2009026250</v>
      </c>
    </row>
    <row r="3">
      <c r="A3" t="inlineStr">
        <is>
          <t>USDINR</t>
        </is>
      </c>
      <c r="B3" s="2" t="n">
        <v>250000000</v>
      </c>
      <c r="C3" t="n">
        <v>83.4699995</v>
      </c>
      <c r="D3" t="n">
        <v>85.575</v>
      </c>
      <c r="E3" s="3" t="n">
        <v>0.02521864756929837</v>
      </c>
      <c r="F3" s="4" t="n">
        <v>20867499875</v>
      </c>
      <c r="G3" s="4" t="n">
        <v>2086749987.5</v>
      </c>
      <c r="H3" s="4" t="n">
        <v>22954249862.5</v>
      </c>
    </row>
    <row r="4">
      <c r="A4" t="inlineStr">
        <is>
          <t>USDJPY</t>
        </is>
      </c>
      <c r="B4" s="2" t="n">
        <v>250000000</v>
      </c>
      <c r="C4" t="n">
        <v>161.615</v>
      </c>
      <c r="D4" t="n">
        <v>143.55</v>
      </c>
      <c r="E4" s="3" t="n">
        <v>-0.1117779909043096</v>
      </c>
      <c r="F4" s="4" t="n">
        <v>40403750000</v>
      </c>
      <c r="G4" s="4" t="n">
        <v>4040375000</v>
      </c>
      <c r="H4" s="4" t="n">
        <v>44444125000</v>
      </c>
    </row>
    <row r="5">
      <c r="A5" t="inlineStr">
        <is>
          <t>USDKRW</t>
        </is>
      </c>
      <c r="B5" s="2" t="n">
        <v>250000000</v>
      </c>
      <c r="C5" t="n">
        <v>1384.48</v>
      </c>
      <c r="D5" t="n">
        <v>1357.3701</v>
      </c>
      <c r="E5" s="3" t="n">
        <v>-0.01958128683693516</v>
      </c>
      <c r="F5" s="4" t="n">
        <v>346120000000</v>
      </c>
      <c r="G5" s="4" t="n">
        <v>34612000000</v>
      </c>
      <c r="H5" s="4" t="n">
        <v>380732000000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9" customWidth="1" min="4" max="4"/>
    <col width="20" customWidth="1" min="5" max="5"/>
    <col width="18" customWidth="1" min="6" max="6"/>
    <col width="20" customWidth="1" min="7" max="7"/>
    <col width="20" customWidth="1" min="8" max="8"/>
    <col width="21" customWidth="1" min="9" max="9"/>
  </cols>
  <sheetData>
    <row r="1">
      <c r="A1" s="1" t="inlineStr">
        <is>
          <t>Currency</t>
        </is>
      </c>
      <c r="B1" s="1" t="inlineStr">
        <is>
          <t>USD Invested</t>
        </is>
      </c>
      <c r="C1" s="1" t="inlineStr">
        <is>
          <t>Local Amount</t>
        </is>
      </c>
      <c r="D1" s="1" t="inlineStr">
        <is>
          <t>Investment Return</t>
        </is>
      </c>
      <c r="E1" s="1" t="inlineStr">
        <is>
          <t>Final Local Value</t>
        </is>
      </c>
      <c r="F1" s="1" t="inlineStr">
        <is>
          <t>Spot at Maturity</t>
        </is>
      </c>
      <c r="G1" s="1" t="inlineStr">
        <is>
          <t>USD Returned</t>
        </is>
      </c>
      <c r="H1" s="1" t="inlineStr">
        <is>
          <t>Profit (USD)</t>
        </is>
      </c>
      <c r="I1" s="1" t="inlineStr">
        <is>
          <t>Return %</t>
        </is>
      </c>
    </row>
    <row r="2">
      <c r="A2" t="inlineStr">
        <is>
          <t>USDCNH</t>
        </is>
      </c>
      <c r="B2" s="2" t="n">
        <v>250000000</v>
      </c>
      <c r="C2" s="4" t="n">
        <v>1826387500</v>
      </c>
      <c r="D2" s="3" t="n">
        <v>0.1</v>
      </c>
      <c r="E2" s="4" t="n">
        <v>2009026250</v>
      </c>
      <c r="F2" t="n">
        <v>7.1635</v>
      </c>
      <c r="G2" s="2" t="n">
        <v>280453165.3521324</v>
      </c>
      <c r="H2" s="2" t="n">
        <v>30453165.35213238</v>
      </c>
      <c r="I2" s="3" t="n">
        <v>0.1218126614085295</v>
      </c>
    </row>
    <row r="3">
      <c r="A3" t="inlineStr">
        <is>
          <t>USDINR</t>
        </is>
      </c>
      <c r="B3" s="2" t="n">
        <v>250000000</v>
      </c>
      <c r="C3" s="4" t="n">
        <v>20867499875</v>
      </c>
      <c r="D3" s="3" t="n">
        <v>0.1</v>
      </c>
      <c r="E3" s="4" t="n">
        <v>22954249862.5</v>
      </c>
      <c r="F3" t="n">
        <v>85.575</v>
      </c>
      <c r="G3" s="2" t="n">
        <v>268235464.3587496</v>
      </c>
      <c r="H3" s="2" t="n">
        <v>18235464.35874963</v>
      </c>
      <c r="I3" s="3" t="n">
        <v>0.07294185743499851</v>
      </c>
    </row>
    <row r="4">
      <c r="A4" t="inlineStr">
        <is>
          <t>USDJPY</t>
        </is>
      </c>
      <c r="B4" s="2" t="n">
        <v>250000000</v>
      </c>
      <c r="C4" s="4" t="n">
        <v>40403750000</v>
      </c>
      <c r="D4" s="3" t="n">
        <v>0.1</v>
      </c>
      <c r="E4" s="4" t="n">
        <v>44444125000</v>
      </c>
      <c r="F4" t="n">
        <v>143.55</v>
      </c>
      <c r="G4" s="2" t="n">
        <v>309607279.6934866</v>
      </c>
      <c r="H4" s="2" t="n">
        <v>59607279.69348657</v>
      </c>
      <c r="I4" s="3" t="n">
        <v>0.2384291187739463</v>
      </c>
    </row>
    <row r="5">
      <c r="A5" t="inlineStr">
        <is>
          <t>USDKRW</t>
        </is>
      </c>
      <c r="B5" s="2" t="n">
        <v>250000000</v>
      </c>
      <c r="C5" s="4" t="n">
        <v>346120000000</v>
      </c>
      <c r="D5" s="3" t="n">
        <v>0.1</v>
      </c>
      <c r="E5" s="4" t="n">
        <v>380732000000.0001</v>
      </c>
      <c r="F5" t="n">
        <v>1357.3701</v>
      </c>
      <c r="G5" s="2" t="n">
        <v>280492402.1827208</v>
      </c>
      <c r="H5" s="2" t="n">
        <v>30492402.18272084</v>
      </c>
      <c r="I5" s="3" t="n">
        <v>0.1219696087308834</v>
      </c>
    </row>
    <row r="6">
      <c r="A6" t="inlineStr">
        <is>
          <t>PORTFOLIO TOTAL</t>
        </is>
      </c>
      <c r="B6" s="2" t="n">
        <v>1000000000</v>
      </c>
      <c r="C6" t="inlineStr"/>
      <c r="D6" s="3" t="inlineStr"/>
      <c r="E6" t="inlineStr"/>
      <c r="F6" t="inlineStr"/>
      <c r="G6" s="2" t="n">
        <v>1138788311.58709</v>
      </c>
      <c r="H6" s="2" t="n">
        <v>138788311.5870894</v>
      </c>
      <c r="I6" s="3" t="n">
        <v>0.1387883115870894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Currency</t>
        </is>
      </c>
      <c r="B1" s="1" t="inlineStr">
        <is>
          <t>Forward Rate</t>
        </is>
      </c>
      <c r="C1" s="1" t="inlineStr">
        <is>
          <t>Final Local Value</t>
        </is>
      </c>
      <c r="D1" s="1" t="inlineStr">
        <is>
          <t>USD Received</t>
        </is>
      </c>
      <c r="E1" s="1" t="inlineStr">
        <is>
          <t>Profit (USD)</t>
        </is>
      </c>
      <c r="F1" s="1" t="inlineStr">
        <is>
          <t>Return %</t>
        </is>
      </c>
    </row>
    <row r="2">
      <c r="A2" t="inlineStr">
        <is>
          <t>USDCNH</t>
        </is>
      </c>
      <c r="B2" t="n">
        <v>7.11995000000009</v>
      </c>
      <c r="C2" s="4" t="n">
        <v>2009026250</v>
      </c>
      <c r="D2" s="2" t="n">
        <v>282168589.6670588</v>
      </c>
      <c r="E2" s="2" t="n">
        <v>32168589.66705877</v>
      </c>
      <c r="F2" s="3" t="n">
        <v>0.1286743586682351</v>
      </c>
    </row>
    <row r="3">
      <c r="A3" t="inlineStr">
        <is>
          <t>USDINR</t>
        </is>
      </c>
      <c r="B3" t="n">
        <v>84.83766334275511</v>
      </c>
      <c r="C3" s="4" t="n">
        <v>22954249862.5</v>
      </c>
      <c r="D3" s="2" t="n">
        <v>270566738.3808282</v>
      </c>
      <c r="E3" s="2" t="n">
        <v>20566738.3808282</v>
      </c>
      <c r="F3" s="3" t="n">
        <v>0.08226695352331281</v>
      </c>
    </row>
    <row r="4">
      <c r="A4" t="inlineStr">
        <is>
          <t>USDJPY</t>
        </is>
      </c>
      <c r="B4" t="n">
        <v>153.56541616557</v>
      </c>
      <c r="C4" s="4" t="n">
        <v>44444125000</v>
      </c>
      <c r="D4" s="2" t="n">
        <v>289414935.4049975</v>
      </c>
      <c r="E4" s="2" t="n">
        <v>39414935.40499747</v>
      </c>
      <c r="F4" s="3" t="n">
        <v>0.1576597416199899</v>
      </c>
    </row>
    <row r="5">
      <c r="A5" t="inlineStr">
        <is>
          <t>USDKRW</t>
        </is>
      </c>
      <c r="B5" t="n">
        <v>1356.2554077284</v>
      </c>
      <c r="C5" s="4" t="n">
        <v>380732000000.0001</v>
      </c>
      <c r="D5" s="2" t="n">
        <v>280722935.9827514</v>
      </c>
      <c r="E5" s="2" t="n">
        <v>30722935.98275143</v>
      </c>
      <c r="F5" s="3" t="n">
        <v>0.1228917439310057</v>
      </c>
    </row>
    <row r="6">
      <c r="A6" t="inlineStr">
        <is>
          <t>PORTFOLIO TOTAL</t>
        </is>
      </c>
      <c r="B6" t="inlineStr"/>
      <c r="C6" t="inlineStr"/>
      <c r="D6" s="2" t="n">
        <v>1122873199.435636</v>
      </c>
      <c r="E6" s="2" t="n">
        <v>122873199.4356359</v>
      </c>
      <c r="F6" s="3" t="n">
        <v>0.1228731994356359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6" customWidth="1" min="5" max="5"/>
    <col width="6" customWidth="1" min="6" max="6"/>
    <col width="20" customWidth="1" min="7" max="7"/>
    <col width="29" customWidth="1" min="8" max="8"/>
    <col width="20" customWidth="1" min="9" max="9"/>
    <col width="23" customWidth="1" min="10" max="10"/>
    <col width="20" customWidth="1" min="11" max="11"/>
    <col width="22" customWidth="1" min="12" max="12"/>
    <col width="24" customWidth="1" min="13" max="13"/>
    <col width="21" customWidth="1" min="14" max="14"/>
    <col width="22" customWidth="1" min="15" max="15"/>
  </cols>
  <sheetData>
    <row r="1">
      <c r="A1" s="1" t="inlineStr">
        <is>
          <t>Currency</t>
        </is>
      </c>
      <c r="B1" s="1" t="inlineStr">
        <is>
          <t>Spot</t>
        </is>
      </c>
      <c r="C1" s="1" t="inlineStr">
        <is>
          <t>Strike</t>
        </is>
      </c>
      <c r="D1" s="1" t="inlineStr">
        <is>
          <t>Volatility</t>
        </is>
      </c>
      <c r="E1" s="1" t="inlineStr">
        <is>
          <t>Risk Free Rate</t>
        </is>
      </c>
      <c r="F1" s="1" t="inlineStr">
        <is>
          <t>Time</t>
        </is>
      </c>
      <c r="G1" s="1" t="inlineStr">
        <is>
          <t>CRR Premium (USD)</t>
        </is>
      </c>
      <c r="H1" s="1" t="inlineStr">
        <is>
          <t>Black Scholes Premium (USD)</t>
        </is>
      </c>
      <c r="I1" s="1" t="inlineStr">
        <is>
          <t>Difference (USD)</t>
        </is>
      </c>
      <c r="J1" s="1" t="inlineStr">
        <is>
          <t>Error %</t>
        </is>
      </c>
      <c r="K1" s="1" t="inlineStr">
        <is>
          <t>Delta</t>
        </is>
      </c>
      <c r="L1" s="1" t="inlineStr">
        <is>
          <t>Gamma</t>
        </is>
      </c>
      <c r="M1" s="1" t="inlineStr">
        <is>
          <t>Theta</t>
        </is>
      </c>
      <c r="N1" s="1" t="inlineStr">
        <is>
          <t>Vega</t>
        </is>
      </c>
      <c r="O1" s="1" t="inlineStr">
        <is>
          <t>Rho</t>
        </is>
      </c>
    </row>
    <row r="2">
      <c r="A2" t="inlineStr">
        <is>
          <t>USDCNH</t>
        </is>
      </c>
      <c r="B2" t="n">
        <v>7.30555</v>
      </c>
      <c r="C2" t="n">
        <v>7.30555</v>
      </c>
      <c r="D2" s="3" t="n">
        <v>0.0582499924350509</v>
      </c>
      <c r="E2" s="3" t="n">
        <v>0.05</v>
      </c>
      <c r="F2" t="n">
        <v>1</v>
      </c>
      <c r="G2" s="2" t="n">
        <v>13713822.79071848</v>
      </c>
      <c r="H2" s="2" t="n">
        <v>13730815.05556969</v>
      </c>
      <c r="I2" s="2" t="n">
        <v>16992.26485121064</v>
      </c>
      <c r="J2" s="3" t="n">
        <v>0.00123752776382477</v>
      </c>
      <c r="K2" t="n">
        <v>0.812593557989036</v>
      </c>
      <c r="L2" t="n">
        <v>0.6323042874206581</v>
      </c>
      <c r="M2" t="n">
        <v>-0.0009151022308192055</v>
      </c>
      <c r="N2" t="n">
        <v>0.01965747965387296</v>
      </c>
      <c r="O2" t="n">
        <v>0.05535198243849934</v>
      </c>
    </row>
    <row r="3">
      <c r="A3" t="inlineStr">
        <is>
          <t>USDINR</t>
        </is>
      </c>
      <c r="B3" t="n">
        <v>83.4699995</v>
      </c>
      <c r="C3" t="n">
        <v>83.4699995</v>
      </c>
      <c r="D3" s="3" t="n">
        <v>0.0349715513644204</v>
      </c>
      <c r="E3" s="3" t="n">
        <v>0.05</v>
      </c>
      <c r="F3" t="n">
        <v>1</v>
      </c>
      <c r="G3" s="2" t="n">
        <v>12476088.27632621</v>
      </c>
      <c r="H3" s="2" t="n">
        <v>12485363.80924235</v>
      </c>
      <c r="I3" s="2" t="n">
        <v>9275.532916147262</v>
      </c>
      <c r="J3" s="3" t="n">
        <v>0.0007429125060241338</v>
      </c>
      <c r="K3" t="n">
        <v>0.9260822460977649</v>
      </c>
      <c r="L3" t="n">
        <v>0.04795811162363501</v>
      </c>
      <c r="M3" t="n">
        <v>-0.0105778058311488</v>
      </c>
      <c r="N3" t="n">
        <v>0.1168524424244898</v>
      </c>
      <c r="O3" t="n">
        <v>0.7313147137508021</v>
      </c>
    </row>
    <row r="4">
      <c r="A4" t="inlineStr">
        <is>
          <t>USDJPY</t>
        </is>
      </c>
      <c r="B4" t="n">
        <v>161.615</v>
      </c>
      <c r="C4" t="n">
        <v>161.615</v>
      </c>
      <c r="D4" s="3" t="n">
        <v>0.0994136858613462</v>
      </c>
      <c r="E4" s="3" t="n">
        <v>0.05</v>
      </c>
      <c r="F4" t="n">
        <v>1</v>
      </c>
      <c r="G4" s="2" t="n">
        <v>16935519.47581835</v>
      </c>
      <c r="H4" s="2" t="n">
        <v>16962162.73722918</v>
      </c>
      <c r="I4" s="2" t="n">
        <v>26643.26141082868</v>
      </c>
      <c r="J4" s="3" t="n">
        <v>0.001570746715709258</v>
      </c>
      <c r="K4" t="n">
        <v>0.7097504044195173</v>
      </c>
      <c r="L4" t="n">
        <v>0.02131372239437829</v>
      </c>
      <c r="M4" t="n">
        <v>-0.02174797848478139</v>
      </c>
      <c r="N4" t="n">
        <v>0.5534377945556639</v>
      </c>
      <c r="O4" t="n">
        <v>1.037409518871511</v>
      </c>
    </row>
    <row r="5">
      <c r="A5" t="inlineStr">
        <is>
          <t>USDKRW</t>
        </is>
      </c>
      <c r="B5" t="n">
        <v>1384.48</v>
      </c>
      <c r="C5" t="n">
        <v>1384.48</v>
      </c>
      <c r="D5" s="3" t="n">
        <v>0.0876832080653337</v>
      </c>
      <c r="E5" s="3" t="n">
        <v>0.05</v>
      </c>
      <c r="F5" t="n">
        <v>1</v>
      </c>
      <c r="G5" s="2" t="n">
        <v>15950594.42481099</v>
      </c>
      <c r="H5" s="2" t="n">
        <v>15974569.14787112</v>
      </c>
      <c r="I5" s="2" t="n">
        <v>23974.72306013107</v>
      </c>
      <c r="J5" s="3" t="n">
        <v>0.001500805614111108</v>
      </c>
      <c r="K5" t="n">
        <v>0.7304175174656486</v>
      </c>
      <c r="L5" t="n">
        <v>0.002721591769178966</v>
      </c>
      <c r="M5" t="n">
        <v>-0.1813508091309856</v>
      </c>
      <c r="N5" t="n">
        <v>4.574175111748697</v>
      </c>
      <c r="O5" t="n">
        <v>9.227825586054628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21" customWidth="1" min="4" max="4"/>
    <col width="20" customWidth="1" min="5" max="5"/>
    <col width="21" customWidth="1" min="6" max="6"/>
  </cols>
  <sheetData>
    <row r="1">
      <c r="A1" s="1" t="inlineStr">
        <is>
          <t>Currency</t>
        </is>
      </c>
      <c r="B1" s="1" t="inlineStr">
        <is>
          <t>Investment Profit (USD)</t>
        </is>
      </c>
      <c r="C1" s="1" t="inlineStr">
        <is>
          <t>Premium Paid (USD)</t>
        </is>
      </c>
      <c r="D1" s="1" t="inlineStr">
        <is>
          <t>Option Payoff (USD)</t>
        </is>
      </c>
      <c r="E1" s="1" t="inlineStr">
        <is>
          <t>Net Profit (USD)</t>
        </is>
      </c>
      <c r="F1" s="1" t="inlineStr">
        <is>
          <t>Return %</t>
        </is>
      </c>
    </row>
    <row r="2">
      <c r="A2" t="inlineStr">
        <is>
          <t>USDCNH</t>
        </is>
      </c>
      <c r="B2" s="2" t="n">
        <v>30453165.35213238</v>
      </c>
      <c r="C2" s="2" t="n">
        <v>-13713822.79071848</v>
      </c>
      <c r="D2" s="2" t="n">
        <v>0</v>
      </c>
      <c r="E2" s="2" t="n">
        <v>16739342.5614139</v>
      </c>
      <c r="F2" s="3" t="n">
        <v>0.06695737024565561</v>
      </c>
    </row>
    <row r="3">
      <c r="A3" t="inlineStr">
        <is>
          <t>USDINR</t>
        </is>
      </c>
      <c r="B3" s="2" t="n">
        <v>18235464.35874963</v>
      </c>
      <c r="C3" s="2" t="n">
        <v>-12476088.27632621</v>
      </c>
      <c r="D3" s="2" t="n">
        <v>6149577.855682158</v>
      </c>
      <c r="E3" s="2" t="n">
        <v>11908953.93810558</v>
      </c>
      <c r="F3" s="3" t="n">
        <v>0.04763581575242232</v>
      </c>
    </row>
    <row r="4">
      <c r="A4" t="inlineStr">
        <is>
          <t>USDJPY</t>
        </is>
      </c>
      <c r="B4" s="2" t="n">
        <v>59607279.69348657</v>
      </c>
      <c r="C4" s="2" t="n">
        <v>-16935519.47581835</v>
      </c>
      <c r="D4" s="2" t="n">
        <v>0</v>
      </c>
      <c r="E4" s="2" t="n">
        <v>42671760.21766822</v>
      </c>
      <c r="F4" s="3" t="n">
        <v>0.1706870408706729</v>
      </c>
    </row>
    <row r="5">
      <c r="A5" t="inlineStr">
        <is>
          <t>USDKRW</t>
        </is>
      </c>
      <c r="B5" s="2" t="n">
        <v>30492402.18272084</v>
      </c>
      <c r="C5" s="2" t="n">
        <v>-15950594.42481099</v>
      </c>
      <c r="D5" s="2" t="n">
        <v>0</v>
      </c>
      <c r="E5" s="2" t="n">
        <v>14541807.75790985</v>
      </c>
      <c r="F5" s="3" t="n">
        <v>0.0581672310316394</v>
      </c>
    </row>
    <row r="6">
      <c r="A6" t="inlineStr">
        <is>
          <t>PORTFOLIO TOTAL</t>
        </is>
      </c>
      <c r="B6" s="2" t="n">
        <v>138788311.5870894</v>
      </c>
      <c r="C6" s="2" t="n">
        <v>-59076024.96767402</v>
      </c>
      <c r="D6" s="2" t="n">
        <v>6149577.855682158</v>
      </c>
      <c r="E6" s="2" t="n">
        <v>85861864.47509755</v>
      </c>
      <c r="F6" s="3" t="n">
        <v>0.08586186447509755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1" customWidth="1" min="4" max="4"/>
    <col width="17" customWidth="1" min="5" max="5"/>
    <col width="11" customWidth="1" min="6" max="6"/>
    <col width="22" customWidth="1" min="7" max="7"/>
    <col width="11" customWidth="1" min="8" max="8"/>
    <col width="8" customWidth="1" min="9" max="9"/>
  </cols>
  <sheetData>
    <row r="1">
      <c r="A1" s="1" t="inlineStr">
        <is>
          <t>Strategy</t>
        </is>
      </c>
      <c r="B1" s="1" t="inlineStr">
        <is>
          <t>Total Final Value</t>
        </is>
      </c>
      <c r="C1" s="1" t="inlineStr">
        <is>
          <t>Total Profit</t>
        </is>
      </c>
      <c r="D1" s="1" t="inlineStr">
        <is>
          <t>Return %</t>
        </is>
      </c>
      <c r="E1" s="1" t="inlineStr">
        <is>
          <t>FX Risk</t>
        </is>
      </c>
      <c r="F1" s="1" t="inlineStr">
        <is>
          <t>Upside</t>
        </is>
      </c>
      <c r="G1" s="1" t="inlineStr">
        <is>
          <t>Cost</t>
        </is>
      </c>
      <c r="H1" s="1" t="inlineStr">
        <is>
          <t>Certainty</t>
        </is>
      </c>
      <c r="I1" s="1" t="inlineStr">
        <is>
          <t>Winner</t>
        </is>
      </c>
    </row>
    <row r="2">
      <c r="A2" t="inlineStr">
        <is>
          <t>Strategy A (No Hedge)</t>
        </is>
      </c>
      <c r="B2" s="2" t="n">
        <v>1138788311.58709</v>
      </c>
      <c r="C2" s="2" t="n">
        <v>138788311.5870894</v>
      </c>
      <c r="D2" s="3" t="n">
        <v>0.1387883115870894</v>
      </c>
      <c r="E2" t="inlineStr">
        <is>
          <t>Full exposure</t>
        </is>
      </c>
      <c r="F2" t="inlineStr">
        <is>
          <t>Unlimited</t>
        </is>
      </c>
      <c r="G2" t="inlineStr">
        <is>
          <t>$0</t>
        </is>
      </c>
      <c r="H2" t="inlineStr">
        <is>
          <t>None</t>
        </is>
      </c>
      <c r="I2" t="inlineStr">
        <is>
          <t>Winner</t>
        </is>
      </c>
    </row>
    <row r="3">
      <c r="A3" t="inlineStr">
        <is>
          <t>Strategy B (Forward)</t>
        </is>
      </c>
      <c r="B3" s="2" t="n">
        <v>1122873199.435636</v>
      </c>
      <c r="C3" s="2" t="n">
        <v>122873199.4356359</v>
      </c>
      <c r="D3" s="3" t="n">
        <v>0.1228731994356359</v>
      </c>
      <c r="E3" t="inlineStr">
        <is>
          <t>Zero</t>
        </is>
      </c>
      <c r="F3" t="inlineStr">
        <is>
          <t>Capped</t>
        </is>
      </c>
      <c r="G3" t="inlineStr">
        <is>
          <t>Implicit (Fwd disc.)</t>
        </is>
      </c>
      <c r="H3" t="inlineStr">
        <is>
          <t>Full</t>
        </is>
      </c>
      <c r="I3" t="inlineStr"/>
    </row>
    <row r="4">
      <c r="A4" t="inlineStr">
        <is>
          <t>Strategy C (Option)</t>
        </is>
      </c>
      <c r="B4" s="2" t="n">
        <v>1085861864.475098</v>
      </c>
      <c r="C4" s="2" t="n">
        <v>85861864.47509755</v>
      </c>
      <c r="D4" s="3" t="n">
        <v>0.08586186447509755</v>
      </c>
      <c r="E4" t="inlineStr">
        <is>
          <t>Downside hedged</t>
        </is>
      </c>
      <c r="F4" t="inlineStr">
        <is>
          <t>Retained</t>
        </is>
      </c>
      <c r="G4" t="inlineStr">
        <is>
          <t>Premium Paid</t>
        </is>
      </c>
      <c r="H4" t="inlineStr">
        <is>
          <t>Partial</t>
        </is>
      </c>
      <c r="I4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Category</t>
        </is>
      </c>
      <c r="B1" s="1" t="inlineStr">
        <is>
          <t>Summary</t>
        </is>
      </c>
    </row>
    <row r="2">
      <c r="A2" t="inlineStr">
        <is>
          <t>Highest Return</t>
        </is>
      </c>
      <c r="B2" t="inlineStr">
        <is>
          <t>Strategy A achieved the highest return for this specific historical period.</t>
        </is>
      </c>
    </row>
    <row r="3">
      <c r="A3" t="inlineStr">
        <is>
          <t>Lowest Risk</t>
        </is>
      </c>
      <c r="B3" t="inlineStr">
        <is>
          <t>Strategy B (Forward Hedge) provides completely certain USD returns, eliminating all FX risk.</t>
        </is>
      </c>
    </row>
    <row r="4">
      <c r="A4" t="inlineStr">
        <is>
          <t>Balanced Strategy</t>
        </is>
      </c>
      <c r="B4" t="inlineStr">
        <is>
          <t>Strategy C (Option Hedge) limits downside risk while preserving upside potential, at the cost of the option premium.</t>
        </is>
      </c>
    </row>
    <row r="5">
      <c r="A5" t="inlineStr">
        <is>
          <t>Recommended Corporate Strategy</t>
        </is>
      </c>
      <c r="B5" t="inlineStr">
        <is>
          <t>Use Strategy B for 70% of exposure to lock in budget targets, and Strategy C for the remaining 30% to capture potential upside.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Strat A Profit</t>
        </is>
      </c>
      <c r="C1" t="inlineStr">
        <is>
          <t>Strat B Profit</t>
        </is>
      </c>
      <c r="D1" t="inlineStr">
        <is>
          <t>Strat C Profit</t>
        </is>
      </c>
    </row>
    <row r="2">
      <c r="A2" t="inlineStr">
        <is>
          <t>USDCNH</t>
        </is>
      </c>
      <c r="B2" t="n">
        <v>30453165.35213238</v>
      </c>
      <c r="C2" t="n">
        <v>32168589.66705877</v>
      </c>
      <c r="D2" t="n">
        <v>16739342.5614139</v>
      </c>
    </row>
    <row r="3">
      <c r="A3" t="inlineStr">
        <is>
          <t>USDINR</t>
        </is>
      </c>
      <c r="B3" t="n">
        <v>18235464.35874963</v>
      </c>
      <c r="C3" t="n">
        <v>20566738.3808282</v>
      </c>
      <c r="D3" t="n">
        <v>11908953.93810558</v>
      </c>
    </row>
    <row r="4">
      <c r="A4" t="inlineStr">
        <is>
          <t>USDJPY</t>
        </is>
      </c>
      <c r="B4" t="n">
        <v>59607279.69348657</v>
      </c>
      <c r="C4" t="n">
        <v>39414935.40499747</v>
      </c>
      <c r="D4" t="n">
        <v>42671760.21766822</v>
      </c>
    </row>
    <row r="5">
      <c r="A5" t="inlineStr">
        <is>
          <t>USDKRW</t>
        </is>
      </c>
      <c r="B5" t="n">
        <v>30492402.18272084</v>
      </c>
      <c r="C5" t="n">
        <v>30722935.98275143</v>
      </c>
      <c r="D5" t="n">
        <v>14541807.75790985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2026-07-08T17:16:58Z</dcterms:created>
  <dcterms:modified xsi:type="dcterms:W3CDTF">2026-07-08T17:16:58Z</dcterms:modified>
</cp:coreProperties>
</file>